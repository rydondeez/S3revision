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524EB9F-3F05-446A-A6C6-C71572E63DD8}" xr6:coauthVersionLast="45" xr6:coauthVersionMax="45" xr10:uidLastSave="{00000000-0000-0000-0000-000000000000}"/>
  <bookViews>
    <workbookView xWindow="-108" yWindow="-108" windowWidth="23256" windowHeight="13176" xr2:uid="{35D491A8-4C75-4F50-B4B2-5A692493A6EB}"/>
  </bookViews>
  <sheets>
    <sheet name="exo 1" sheetId="1" r:id="rId1"/>
    <sheet name="exo 2" sheetId="3" r:id="rId2"/>
    <sheet name="exo 3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2" i="2"/>
  <c r="F4" i="2"/>
  <c r="F5" i="2"/>
  <c r="F6" i="2"/>
  <c r="F3" i="2"/>
  <c r="F2" i="2"/>
  <c r="E3" i="2"/>
  <c r="E4" i="2"/>
  <c r="E5" i="2"/>
  <c r="E6" i="2"/>
  <c r="E2" i="2"/>
  <c r="H17" i="3"/>
  <c r="H16" i="3"/>
  <c r="H11" i="3"/>
  <c r="H12" i="3"/>
  <c r="H13" i="3"/>
  <c r="H14" i="3"/>
  <c r="H10" i="3"/>
  <c r="G11" i="3"/>
  <c r="G12" i="3"/>
  <c r="G13" i="3"/>
  <c r="G14" i="3"/>
  <c r="G10" i="3"/>
</calcChain>
</file>

<file path=xl/sharedStrings.xml><?xml version="1.0" encoding="utf-8"?>
<sst xmlns="http://schemas.openxmlformats.org/spreadsheetml/2006/main" count="34" uniqueCount="34">
  <si>
    <t>Facture</t>
  </si>
  <si>
    <t>Total HT</t>
  </si>
  <si>
    <t>Total TTC (le taux de TVA est à 20,6%)</t>
  </si>
  <si>
    <t>Taux de TVA</t>
  </si>
  <si>
    <t>Titre de l'ouverage</t>
  </si>
  <si>
    <t>Les miserables</t>
  </si>
  <si>
    <t>les aventures de Tom</t>
  </si>
  <si>
    <t>Le labyrinthe des egares</t>
  </si>
  <si>
    <t>Le nauferage des civilisations</t>
  </si>
  <si>
    <t>La boite a merveilles</t>
  </si>
  <si>
    <t>Prix Unitaire</t>
  </si>
  <si>
    <t>Quantite</t>
  </si>
  <si>
    <t>Prix HT</t>
  </si>
  <si>
    <t>Prix de la ligne TTC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</si>
  <si>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</si>
  <si>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</si>
  <si>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</si>
  <si>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</si>
  <si>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</si>
  <si>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</si>
  <si>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</si>
  <si>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</si>
  <si>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Representant</t>
  </si>
  <si>
    <t>Ahmed jakani</t>
  </si>
  <si>
    <t>Rachid nadir</t>
  </si>
  <si>
    <t>Mohammed lotfi</t>
  </si>
  <si>
    <t>Sara adib</t>
  </si>
  <si>
    <t>Hiba bennani</t>
  </si>
  <si>
    <t>Octobre</t>
  </si>
  <si>
    <t>Novembre</t>
  </si>
  <si>
    <t>Décembre</t>
  </si>
  <si>
    <t>Total trimestre</t>
  </si>
  <si>
    <t>Prime (Oui/Non)</t>
  </si>
  <si>
    <t>Montant Prime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</si>
</sst>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4"/>
      <name val="Times New Roman"/>
      <family val="1"/>
    </font>
    <font>
      <b/>
      <sz val="24"/>
      <color rgb="FFFF0000"/>
      <name val="Times New Roman"/>
      <family val="1"/>
    </font>
    <font>
      <sz val="8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0" fontId="4" fillId="0" borderId="0" xfId="0" applyFont="1"/>
    <xf numFmtId="0" fontId="0" fillId="0" borderId="0" xfId="0" applyBorder="1"/>
    <xf numFmtId="0" fontId="3" fillId="0" borderId="1" xfId="0" applyFont="1" applyBorder="1"/>
    <xf numFmtId="9" fontId="3" fillId="0" borderId="1" xfId="0" applyNumberFormat="1" applyFont="1" applyBorder="1"/>
    <xf numFmtId="0" fontId="3" fillId="0" borderId="0" xfId="0" applyFont="1" applyBorder="1"/>
    <xf numFmtId="0" fontId="5" fillId="0" borderId="1" xfId="0" applyFont="1" applyBorder="1"/>
    <xf numFmtId="44" fontId="3" fillId="0" borderId="1" xfId="1" applyFont="1" applyBorder="1"/>
    <xf numFmtId="0" fontId="4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0" fontId="8" fillId="0" borderId="1" xfId="0" applyFont="1" applyBorder="1"/>
    <xf numFmtId="0" fontId="0" fillId="2" borderId="1" xfId="0" applyFill="1" applyBorder="1"/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E2AF5-344D-40DB-BC85-A4FC746F5A9A}">
  <dimension ref="A1:I13"/>
  <sheetViews>
    <sheetView tabSelected="1" workbookViewId="0">
      <selection activeCell="L10" sqref="L10"/>
    </sheetView>
  </sheetViews>
  <sheetFormatPr baseColWidth="10" defaultRowHeight="14.4" x14ac:dyDescent="0.3"/>
  <cols>
    <col min="1" max="1" width="11.5546875" style="12"/>
  </cols>
  <sheetData>
    <row r="1" spans="1:9" x14ac:dyDescent="0.3">
      <c r="A1" s="10"/>
      <c r="B1" s="9" t="s">
        <v>14</v>
      </c>
      <c r="C1" s="9" t="s">
        <v>15</v>
      </c>
      <c r="D1" s="9" t="s">
        <v>16</v>
      </c>
      <c r="E1" s="9" t="s">
        <v>17</v>
      </c>
      <c r="F1" s="9" t="s">
        <v>18</v>
      </c>
      <c r="G1" s="9" t="s">
        <v>19</v>
      </c>
      <c r="H1" s="9" t="s">
        <v>20</v>
      </c>
      <c r="I1" s="9" t="s">
        <v>21</v>
      </c>
    </row>
    <row r="2" spans="1:9" x14ac:dyDescent="0.3">
      <c r="A2" s="11">
        <v>2010</v>
      </c>
      <c r="B2" s="1">
        <v>150</v>
      </c>
      <c r="C2" s="1">
        <v>150</v>
      </c>
      <c r="D2" s="1"/>
      <c r="E2" s="1"/>
      <c r="F2" s="1"/>
      <c r="G2" s="1"/>
      <c r="H2" s="1"/>
      <c r="I2" s="1"/>
    </row>
    <row r="3" spans="1:9" x14ac:dyDescent="0.3">
      <c r="A3" s="11">
        <v>2011</v>
      </c>
      <c r="B3" s="1">
        <v>150</v>
      </c>
      <c r="C3" s="1">
        <v>150</v>
      </c>
      <c r="D3" s="1"/>
      <c r="E3" s="1"/>
      <c r="F3" s="1"/>
      <c r="G3" s="1"/>
      <c r="H3" s="1"/>
      <c r="I3" s="1"/>
    </row>
    <row r="4" spans="1:9" x14ac:dyDescent="0.3">
      <c r="A4" s="11">
        <v>2012</v>
      </c>
      <c r="B4" s="1">
        <v>150</v>
      </c>
      <c r="C4" s="1">
        <v>150</v>
      </c>
      <c r="D4" s="1"/>
      <c r="E4" s="1"/>
      <c r="F4" s="1"/>
      <c r="G4" s="1"/>
      <c r="H4" s="1"/>
      <c r="I4" s="1"/>
    </row>
    <row r="5" spans="1:9" x14ac:dyDescent="0.3">
      <c r="A5" s="11">
        <v>2013</v>
      </c>
      <c r="B5" s="1">
        <v>150</v>
      </c>
      <c r="C5" s="1">
        <v>150</v>
      </c>
      <c r="D5" s="1"/>
      <c r="E5" s="1"/>
      <c r="F5" s="1"/>
      <c r="G5" s="1"/>
      <c r="H5" s="1"/>
      <c r="I5" s="1"/>
    </row>
    <row r="6" spans="1:9" x14ac:dyDescent="0.3">
      <c r="A6" s="11">
        <v>2014</v>
      </c>
      <c r="B6" s="1">
        <v>150</v>
      </c>
      <c r="C6" s="1">
        <v>150</v>
      </c>
      <c r="D6" s="1"/>
      <c r="E6" s="1"/>
      <c r="F6" s="1"/>
      <c r="G6" s="1"/>
      <c r="H6" s="1"/>
      <c r="I6" s="1"/>
    </row>
    <row r="7" spans="1:9" x14ac:dyDescent="0.3">
      <c r="A7" s="11">
        <v>2015</v>
      </c>
      <c r="B7" s="1">
        <v>150</v>
      </c>
      <c r="C7" s="1">
        <v>150</v>
      </c>
      <c r="D7" s="1"/>
      <c r="E7" s="1"/>
      <c r="F7" s="1"/>
      <c r="G7" s="1"/>
      <c r="H7" s="1"/>
      <c r="I7" s="1"/>
    </row>
    <row r="8" spans="1:9" x14ac:dyDescent="0.3">
      <c r="A8" s="11">
        <v>2016</v>
      </c>
      <c r="B8" s="1">
        <v>150</v>
      </c>
      <c r="C8" s="1">
        <v>150</v>
      </c>
      <c r="D8" s="1"/>
      <c r="E8" s="1"/>
      <c r="F8" s="1"/>
      <c r="G8" s="1"/>
      <c r="H8" s="1"/>
      <c r="I8" s="1"/>
    </row>
    <row r="9" spans="1:9" x14ac:dyDescent="0.3">
      <c r="A9" s="11">
        <v>2017</v>
      </c>
      <c r="B9" s="1">
        <v>150</v>
      </c>
      <c r="C9" s="1">
        <v>150</v>
      </c>
      <c r="D9" s="1"/>
      <c r="E9" s="1"/>
      <c r="F9" s="1"/>
      <c r="G9" s="1"/>
      <c r="H9" s="1"/>
      <c r="I9" s="1"/>
    </row>
    <row r="10" spans="1:9" x14ac:dyDescent="0.3">
      <c r="A10" s="11">
        <v>2018</v>
      </c>
      <c r="B10" s="1">
        <v>150</v>
      </c>
      <c r="C10" s="1">
        <v>150</v>
      </c>
      <c r="D10" s="1"/>
      <c r="E10" s="1"/>
      <c r="F10" s="1"/>
      <c r="G10" s="1"/>
      <c r="H10" s="1"/>
      <c r="I10" s="1"/>
    </row>
    <row r="11" spans="1:9" x14ac:dyDescent="0.3">
      <c r="A11" s="11">
        <v>2019</v>
      </c>
      <c r="B11" s="1">
        <v>150</v>
      </c>
      <c r="C11" s="1">
        <v>150</v>
      </c>
      <c r="D11" s="1"/>
      <c r="E11" s="1"/>
      <c r="F11" s="1"/>
      <c r="G11" s="1"/>
      <c r="H11" s="1"/>
      <c r="I11" s="1"/>
    </row>
    <row r="12" spans="1:9" x14ac:dyDescent="0.3">
      <c r="A12" s="11">
        <v>2020</v>
      </c>
      <c r="B12" s="1">
        <v>150</v>
      </c>
      <c r="C12" s="1">
        <v>150</v>
      </c>
      <c r="D12" s="1"/>
      <c r="E12" s="1"/>
      <c r="F12" s="1"/>
      <c r="G12" s="1"/>
      <c r="H12" s="1"/>
      <c r="I12" s="1"/>
    </row>
    <row r="13" spans="1:9" x14ac:dyDescent="0.3">
      <c r="A13" s="20"/>
      <c r="B13" s="3"/>
      <c r="C13" s="3"/>
      <c r="D13" s="3"/>
      <c r="E13" s="3"/>
      <c r="F13" s="3"/>
      <c r="G13" s="3"/>
      <c r="H13" s="3"/>
      <c r="I13" s="3"/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885AE-D86B-4E92-94AB-4A922D3F2E22}">
  <dimension ref="D5:H17"/>
  <sheetViews>
    <sheetView workbookViewId="0">
      <selection activeCell="F21" sqref="F21"/>
    </sheetView>
  </sheetViews>
  <sheetFormatPr baseColWidth="10" defaultRowHeight="14.4" x14ac:dyDescent="0.3"/>
  <cols>
    <col min="4" max="4" width="28.6640625" customWidth="1"/>
    <col min="7" max="7" width="12" bestFit="1" customWidth="1"/>
    <col min="8" max="8" width="19.77734375" customWidth="1"/>
  </cols>
  <sheetData>
    <row r="5" spans="4:8" ht="30" x14ac:dyDescent="0.5">
      <c r="E5" s="15" t="s">
        <v>0</v>
      </c>
      <c r="F5" s="15"/>
    </row>
    <row r="7" spans="4:8" x14ac:dyDescent="0.3">
      <c r="D7" s="3"/>
      <c r="E7" s="3"/>
      <c r="F7" s="3"/>
      <c r="G7" s="3"/>
      <c r="H7" s="3"/>
    </row>
    <row r="8" spans="4:8" x14ac:dyDescent="0.3">
      <c r="D8" s="3"/>
      <c r="E8" s="3"/>
      <c r="F8" s="3"/>
      <c r="G8" s="3"/>
      <c r="H8" s="3"/>
    </row>
    <row r="9" spans="4:8" x14ac:dyDescent="0.3">
      <c r="D9" s="7" t="s">
        <v>4</v>
      </c>
      <c r="E9" s="7" t="s">
        <v>10</v>
      </c>
      <c r="F9" s="7" t="s">
        <v>11</v>
      </c>
      <c r="G9" s="7" t="s">
        <v>12</v>
      </c>
      <c r="H9" s="7" t="s">
        <v>13</v>
      </c>
    </row>
    <row r="10" spans="4:8" x14ac:dyDescent="0.3">
      <c r="D10" s="4" t="s">
        <v>5</v>
      </c>
      <c r="E10" s="8">
        <v>42</v>
      </c>
      <c r="F10" s="8">
        <v>10</v>
      </c>
      <c r="G10" s="8">
        <f>E10*F10</f>
        <v>420</v>
      </c>
      <c r="H10" s="8">
        <f>G10*(1+$F$15)</f>
        <v>504</v>
      </c>
    </row>
    <row r="11" spans="4:8" x14ac:dyDescent="0.3">
      <c r="D11" s="4" t="s">
        <v>6</v>
      </c>
      <c r="E11" s="8">
        <v>59.9</v>
      </c>
      <c r="F11" s="8">
        <v>25</v>
      </c>
      <c r="G11" s="8">
        <f t="shared" ref="G11:G14" si="0">E11*F11</f>
        <v>1497.5</v>
      </c>
      <c r="H11" s="8">
        <f t="shared" ref="H11:H14" si="1">G11*(1+$F$15)</f>
        <v>1797</v>
      </c>
    </row>
    <row r="12" spans="4:8" x14ac:dyDescent="0.3">
      <c r="D12" s="4" t="s">
        <v>7</v>
      </c>
      <c r="E12" s="8">
        <v>40.5</v>
      </c>
      <c r="F12" s="8">
        <v>14</v>
      </c>
      <c r="G12" s="8">
        <f t="shared" si="0"/>
        <v>567</v>
      </c>
      <c r="H12" s="8">
        <f t="shared" si="1"/>
        <v>680.4</v>
      </c>
    </row>
    <row r="13" spans="4:8" x14ac:dyDescent="0.3">
      <c r="D13" s="4" t="s">
        <v>8</v>
      </c>
      <c r="E13" s="8">
        <v>47.99</v>
      </c>
      <c r="F13" s="8">
        <v>34</v>
      </c>
      <c r="G13" s="8">
        <f t="shared" si="0"/>
        <v>1631.66</v>
      </c>
      <c r="H13" s="8">
        <f t="shared" si="1"/>
        <v>1957.992</v>
      </c>
    </row>
    <row r="14" spans="4:8" x14ac:dyDescent="0.3">
      <c r="D14" s="4" t="s">
        <v>9</v>
      </c>
      <c r="E14" s="8">
        <v>37.9</v>
      </c>
      <c r="F14" s="8">
        <v>26</v>
      </c>
      <c r="G14" s="8">
        <f t="shared" si="0"/>
        <v>985.4</v>
      </c>
      <c r="H14" s="8">
        <f t="shared" si="1"/>
        <v>1182.48</v>
      </c>
    </row>
    <row r="15" spans="4:8" x14ac:dyDescent="0.3">
      <c r="D15" s="18" t="s">
        <v>3</v>
      </c>
      <c r="E15" s="19"/>
      <c r="F15" s="5">
        <v>0.2</v>
      </c>
      <c r="G15" s="6"/>
      <c r="H15" s="6"/>
    </row>
    <row r="16" spans="4:8" x14ac:dyDescent="0.3">
      <c r="D16" s="2"/>
      <c r="E16" s="2"/>
      <c r="F16" s="2"/>
      <c r="G16" s="2" t="s">
        <v>1</v>
      </c>
      <c r="H16" s="8">
        <f>SUM(G10:G14)</f>
        <v>5101.5599999999995</v>
      </c>
    </row>
    <row r="17" spans="4:8" x14ac:dyDescent="0.3">
      <c r="D17" s="16" t="s">
        <v>2</v>
      </c>
      <c r="E17" s="16"/>
      <c r="F17" s="16"/>
      <c r="G17" s="17"/>
      <c r="H17" s="8">
        <f>H16*(1+20.6%)</f>
        <v>6152.4813599999989</v>
      </c>
    </row>
  </sheetData>
  <mergeCells count="3">
    <mergeCell ref="E5:F5"/>
    <mergeCell ref="D17:G17"/>
    <mergeCell ref="D15:E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2C175-1554-47C0-828E-56883106082C}">
  <dimension ref="A1:G6"/>
  <sheetViews>
    <sheetView workbookViewId="0">
      <selection activeCell="H12" sqref="H12"/>
    </sheetView>
  </sheetViews>
  <sheetFormatPr baseColWidth="10" defaultRowHeight="14.4" x14ac:dyDescent="0.3"/>
  <cols>
    <col min="1" max="1" width="18.109375" customWidth="1"/>
    <col min="5" max="5" width="15.77734375" customWidth="1"/>
    <col min="6" max="6" width="17" customWidth="1"/>
    <col min="7" max="7" width="14.88671875" customWidth="1"/>
  </cols>
  <sheetData>
    <row r="1" spans="1:7" x14ac:dyDescent="0.3">
      <c r="A1" s="11" t="s">
        <v>22</v>
      </c>
      <c r="B1" s="11" t="s">
        <v>28</v>
      </c>
      <c r="C1" s="11" t="s">
        <v>29</v>
      </c>
      <c r="D1" s="11" t="s">
        <v>30</v>
      </c>
      <c r="E1" s="11" t="s">
        <v>31</v>
      </c>
      <c r="F1" s="11" t="s">
        <v>32</v>
      </c>
      <c r="G1" s="11" t="s">
        <v>33</v>
      </c>
    </row>
    <row r="2" spans="1:7" x14ac:dyDescent="0.3">
      <c r="A2" s="13" t="s">
        <v>23</v>
      </c>
      <c r="B2" s="1">
        <v>5000</v>
      </c>
      <c r="C2" s="1">
        <v>10500</v>
      </c>
      <c r="D2" s="1">
        <v>13000</v>
      </c>
      <c r="E2" s="1">
        <f>SUM(B2,C2,D2)</f>
        <v>28500</v>
      </c>
      <c r="F2" s="1" t="str">
        <f>IF(E2&gt;30000,"oui","Non")</f>
        <v>Non</v>
      </c>
      <c r="G2" s="14">
        <f>IF(F2="Oui",E2*1%,0)</f>
        <v>0</v>
      </c>
    </row>
    <row r="3" spans="1:7" x14ac:dyDescent="0.3">
      <c r="A3" s="13" t="s">
        <v>24</v>
      </c>
      <c r="B3" s="1">
        <v>9000</v>
      </c>
      <c r="C3" s="1">
        <v>10000</v>
      </c>
      <c r="D3" s="1">
        <v>15000</v>
      </c>
      <c r="E3" s="1">
        <f t="shared" ref="E3:E6" si="0">SUM(B3,C3,D3)</f>
        <v>34000</v>
      </c>
      <c r="F3" s="1" t="str">
        <f>IF(E3&gt;30000,"Oui","Non")</f>
        <v>Oui</v>
      </c>
      <c r="G3" s="14">
        <f t="shared" ref="G3:G6" si="1">IF(F3="Oui",E3*1%,0)</f>
        <v>340</v>
      </c>
    </row>
    <row r="4" spans="1:7" x14ac:dyDescent="0.3">
      <c r="A4" s="13" t="s">
        <v>25</v>
      </c>
      <c r="B4" s="1">
        <v>15000</v>
      </c>
      <c r="C4" s="1">
        <v>12000</v>
      </c>
      <c r="D4" s="1">
        <v>15000</v>
      </c>
      <c r="E4" s="1">
        <f t="shared" si="0"/>
        <v>42000</v>
      </c>
      <c r="F4" s="1" t="str">
        <f t="shared" ref="F4:F6" si="2">IF(E4&gt;30000,"Oui","Non")</f>
        <v>Oui</v>
      </c>
      <c r="G4" s="14">
        <f t="shared" si="1"/>
        <v>420</v>
      </c>
    </row>
    <row r="5" spans="1:7" x14ac:dyDescent="0.3">
      <c r="A5" s="13" t="s">
        <v>26</v>
      </c>
      <c r="B5" s="1">
        <v>6500</v>
      </c>
      <c r="C5" s="1">
        <v>9000</v>
      </c>
      <c r="D5" s="1">
        <v>9500</v>
      </c>
      <c r="E5" s="1">
        <f t="shared" si="0"/>
        <v>25000</v>
      </c>
      <c r="F5" s="1" t="str">
        <f t="shared" si="2"/>
        <v>Non</v>
      </c>
      <c r="G5" s="14">
        <f t="shared" si="1"/>
        <v>0</v>
      </c>
    </row>
    <row r="6" spans="1:7" x14ac:dyDescent="0.3">
      <c r="A6" s="13" t="s">
        <v>27</v>
      </c>
      <c r="B6" s="1">
        <v>18000</v>
      </c>
      <c r="C6" s="1">
        <v>19000</v>
      </c>
      <c r="D6" s="1">
        <v>19000</v>
      </c>
      <c r="E6" s="1">
        <f t="shared" si="0"/>
        <v>56000</v>
      </c>
      <c r="F6" s="1" t="str">
        <f t="shared" si="2"/>
        <v>Oui</v>
      </c>
      <c r="G6" s="14">
        <f t="shared" si="1"/>
        <v>560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exo 1</vt:lpstr>
      <vt:lpstr>exo 2</vt:lpstr>
      <vt:lpstr>exo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2025-10-23T18:02:26Z</dcterms:created>
  <dcterms:modified xsi:type="dcterms:W3CDTF">2025-10-23T18:31:48Z</dcterms:modified>
</cp:coreProperties>
</file>