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 showInkAnnotation="0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C4E244FC-EFDC-294D-994E-3D7A12E3AEF3}" xr6:coauthVersionLast="37" xr6:coauthVersionMax="37" xr10:uidLastSave="{00000000-0000-0000-0000-000000000000}"/>
  <bookViews>
    <workbookView xWindow="0" yWindow="500" windowWidth="23040" windowHeight="14400" tabRatio="500" xr2:uid="{00000000-000D-0000-FFFF-FFFF00000000}"/>
  </bookViews>
  <sheets>
    <sheet name="Feuil1" sheetId="1" r:id="rId1"/>
  </sheets>
  <calcPr calcId="1790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26" i="1" l="1"/>
  <c r="T25" i="1"/>
  <c r="J35" i="1"/>
  <c r="H34" i="1"/>
  <c r="J34" i="1" s="1"/>
  <c r="E6" i="1"/>
  <c r="E7" i="1" s="1"/>
  <c r="C6" i="1"/>
  <c r="H5" i="1" s="1"/>
  <c r="P26" i="1"/>
  <c r="P24" i="1"/>
  <c r="E33" i="1"/>
  <c r="E35" i="1"/>
  <c r="E5" i="1"/>
  <c r="E3" i="1"/>
  <c r="D6" i="1" s="1"/>
  <c r="H6" i="1" l="1"/>
  <c r="I5" i="1"/>
  <c r="J5" i="1" s="1"/>
  <c r="I3" i="1"/>
  <c r="J3" i="1" s="1"/>
  <c r="J6" i="1" l="1"/>
  <c r="I6" i="1" s="1"/>
</calcChain>
</file>

<file path=xl/sharedStrings.xml><?xml version="1.0" encoding="utf-8"?>
<sst xmlns="http://schemas.openxmlformats.org/spreadsheetml/2006/main" count="65" uniqueCount="30">
  <si>
    <t>SI</t>
  </si>
  <si>
    <t>Qte</t>
  </si>
  <si>
    <t>Pu</t>
  </si>
  <si>
    <t>Mnt</t>
  </si>
  <si>
    <t>E</t>
  </si>
  <si>
    <t>T</t>
  </si>
  <si>
    <t>Sortie</t>
  </si>
  <si>
    <t>SF</t>
  </si>
  <si>
    <t>Cout D'achat</t>
  </si>
  <si>
    <t>S</t>
  </si>
  <si>
    <t>consommation</t>
  </si>
  <si>
    <t>1- methode du CUMP: Coût moyen unitaire ponderé</t>
  </si>
  <si>
    <t xml:space="preserve">1.1 cump apres chq entrée: </t>
  </si>
  <si>
    <t xml:space="preserve">1.2 cump en fin de période </t>
  </si>
  <si>
    <t>valeur avant l'entrée+ valeur de l'entrée/qté avant l'entrée + qté de l'entrée</t>
  </si>
  <si>
    <t>Valeur du SI+ Valeur l'ensemble des entrées/ qté du SI+ Qté des entrées</t>
  </si>
  <si>
    <t xml:space="preserve">2- FIFO First in first out </t>
  </si>
  <si>
    <t>3- LIFO LAST IN FIRST OUT</t>
  </si>
  <si>
    <t xml:space="preserve">premier élement entrant --&gt; premier élement sortant </t>
  </si>
  <si>
    <t>dernier élement entrant--&gt; premier élement sortant</t>
  </si>
  <si>
    <t>Inventaire Permanent  MP</t>
  </si>
  <si>
    <t>SI+E=SORTIE+SF</t>
  </si>
  <si>
    <t>Mnt=qte*pu</t>
  </si>
  <si>
    <t>Inventaire Permanent de PF</t>
  </si>
  <si>
    <t>Cout de production</t>
  </si>
  <si>
    <t>VENTES</t>
  </si>
  <si>
    <t>dates</t>
  </si>
  <si>
    <t>Date</t>
  </si>
  <si>
    <t xml:space="preserve">CUMP </t>
  </si>
  <si>
    <t>5+10=7+8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</si>
</sst>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Font="1" applyFill="1" applyBorder="1"/>
    <xf numFmtId="0" fontId="1" fillId="5" borderId="0" xfId="0" applyFont="1" applyFill="1"/>
    <xf numFmtId="0" fontId="0" fillId="0" borderId="0" xfId="0" applyFill="1"/>
    <xf numFmtId="0" fontId="0" fillId="6" borderId="1" xfId="0" applyFill="1" applyBorder="1"/>
    <xf numFmtId="0" fontId="0" fillId="7" borderId="1" xfId="0" applyFont="1" applyFill="1" applyBorder="1"/>
    <xf numFmtId="0" fontId="0" fillId="0" borderId="1" xfId="0" applyFill="1" applyBorder="1"/>
    <xf numFmtId="0" fontId="0" fillId="8" borderId="1" xfId="0" applyFont="1" applyFill="1" applyBorder="1"/>
    <xf numFmtId="0" fontId="0" fillId="9" borderId="1" xfId="0" applyFill="1" applyBorder="1"/>
    <xf numFmtId="0" fontId="0" fillId="10" borderId="0" xfId="0" applyFill="1"/>
    <xf numFmtId="16" fontId="0" fillId="0" borderId="1" xfId="0" applyNumberFormat="1" applyBorder="1"/>
    <xf numFmtId="0" fontId="0" fillId="0" borderId="2" xfId="0" applyFont="1" applyFill="1" applyBorder="1"/>
    <xf numFmtId="0" fontId="0" fillId="6" borderId="3" xfId="0" applyFill="1" applyBorder="1"/>
    <xf numFmtId="0" fontId="0" fillId="8" borderId="2" xfId="0" applyFont="1" applyFill="1" applyBorder="1"/>
    <xf numFmtId="0" fontId="0" fillId="0" borderId="3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tabSelected="1" topLeftCell="A12" zoomScaleNormal="130" zoomScalePageLayoutView="130" workbookViewId="0">
      <selection activeCell="H12" sqref="H12"/>
    </sheetView>
  </sheetViews>
  <sheetFormatPr baseColWidth="10" defaultRowHeight="16" x14ac:dyDescent="0.2"/>
  <cols>
    <col min="1" max="1" width="7.83203125" customWidth="1"/>
    <col min="5" max="5" width="15.6640625" customWidth="1"/>
    <col min="6" max="6" width="9.5" customWidth="1"/>
  </cols>
  <sheetData>
    <row r="1" spans="1:14" x14ac:dyDescent="0.2">
      <c r="C1" s="13" t="s">
        <v>20</v>
      </c>
      <c r="D1" s="13"/>
      <c r="L1" s="13" t="s">
        <v>23</v>
      </c>
      <c r="M1" s="13"/>
      <c r="N1" s="13"/>
    </row>
    <row r="2" spans="1:14" x14ac:dyDescent="0.2">
      <c r="A2" s="1" t="s">
        <v>26</v>
      </c>
      <c r="B2" s="1"/>
      <c r="C2" s="10" t="s">
        <v>1</v>
      </c>
      <c r="D2" s="10" t="s">
        <v>2</v>
      </c>
      <c r="E2" s="1" t="s">
        <v>22</v>
      </c>
      <c r="F2" s="1" t="s">
        <v>27</v>
      </c>
      <c r="G2" s="1" t="s">
        <v>4</v>
      </c>
      <c r="H2" s="1" t="s">
        <v>1</v>
      </c>
      <c r="I2" s="1" t="s">
        <v>2</v>
      </c>
      <c r="J2" s="1" t="s">
        <v>3</v>
      </c>
      <c r="L2" s="13"/>
      <c r="M2" s="13"/>
      <c r="N2" s="13"/>
    </row>
    <row r="3" spans="1:14" x14ac:dyDescent="0.2">
      <c r="A3" s="14">
        <v>44075</v>
      </c>
      <c r="B3" s="1" t="s">
        <v>0</v>
      </c>
      <c r="C3" s="10">
        <v>1200</v>
      </c>
      <c r="D3" s="10">
        <v>20</v>
      </c>
      <c r="E3" s="1">
        <f>C3*D3</f>
        <v>24000</v>
      </c>
      <c r="F3" s="14">
        <v>44089</v>
      </c>
      <c r="G3" s="1" t="s">
        <v>6</v>
      </c>
      <c r="H3" s="1">
        <v>5800</v>
      </c>
      <c r="I3" s="1">
        <f>D6</f>
        <v>21.612903225806452</v>
      </c>
      <c r="J3" s="1">
        <f>H3*I3</f>
        <v>125354.83870967742</v>
      </c>
      <c r="L3" s="13" t="s">
        <v>4</v>
      </c>
      <c r="M3" s="13" t="s">
        <v>24</v>
      </c>
      <c r="N3" s="13"/>
    </row>
    <row r="4" spans="1:14" x14ac:dyDescent="0.2">
      <c r="A4" s="1"/>
      <c r="B4" s="1"/>
      <c r="C4" s="1"/>
      <c r="D4" s="1"/>
      <c r="E4" s="1"/>
      <c r="F4" s="1"/>
      <c r="G4" s="1">
        <v>5800</v>
      </c>
      <c r="H4" s="1"/>
      <c r="I4" s="1"/>
      <c r="J4" s="1"/>
      <c r="L4" s="13" t="s">
        <v>9</v>
      </c>
      <c r="M4" s="13" t="s">
        <v>25</v>
      </c>
      <c r="N4" s="13"/>
    </row>
    <row r="5" spans="1:14" x14ac:dyDescent="0.2">
      <c r="A5" s="14">
        <v>44079</v>
      </c>
      <c r="B5" s="1" t="s">
        <v>4</v>
      </c>
      <c r="C5" s="1">
        <v>5000</v>
      </c>
      <c r="D5" s="1">
        <v>22</v>
      </c>
      <c r="E5" s="1">
        <f>C5*D5</f>
        <v>110000</v>
      </c>
      <c r="F5" s="14">
        <v>44104</v>
      </c>
      <c r="G5" s="1" t="s">
        <v>7</v>
      </c>
      <c r="H5" s="1">
        <f>C6-G4</f>
        <v>400</v>
      </c>
      <c r="I5" s="1">
        <f>D6</f>
        <v>21.612903225806452</v>
      </c>
      <c r="J5" s="1">
        <f>H5*I5</f>
        <v>8645.1612903225814</v>
      </c>
    </row>
    <row r="6" spans="1:14" x14ac:dyDescent="0.2">
      <c r="A6" s="1"/>
      <c r="B6" s="19" t="s">
        <v>5</v>
      </c>
      <c r="C6" s="5">
        <f>C3+C5</f>
        <v>6200</v>
      </c>
      <c r="D6" s="9">
        <f>((E3+E5)/(C3+C5))</f>
        <v>21.612903225806452</v>
      </c>
      <c r="E6" s="5">
        <f>E3+E5</f>
        <v>134000</v>
      </c>
      <c r="F6" s="15"/>
      <c r="G6" s="19" t="s">
        <v>5</v>
      </c>
      <c r="H6" s="1">
        <f>H3+H5</f>
        <v>6200</v>
      </c>
      <c r="I6" s="1">
        <f>J6/H6</f>
        <v>21.612903225806452</v>
      </c>
      <c r="J6" s="1">
        <f>J3+J5</f>
        <v>134000</v>
      </c>
    </row>
    <row r="7" spans="1:14" x14ac:dyDescent="0.2">
      <c r="A7" s="1"/>
      <c r="B7" s="20"/>
      <c r="C7" s="8"/>
      <c r="D7" s="8" t="s">
        <v>28</v>
      </c>
      <c r="E7" s="8">
        <f>E6/C6</f>
        <v>21.612903225806452</v>
      </c>
      <c r="F7" s="16"/>
      <c r="G7" s="20"/>
      <c r="H7" s="1"/>
      <c r="I7" s="1"/>
      <c r="J7" s="1"/>
    </row>
    <row r="8" spans="1:14" x14ac:dyDescent="0.2">
      <c r="C8" s="7"/>
      <c r="D8" s="7"/>
      <c r="E8" s="7"/>
      <c r="F8" s="7"/>
    </row>
    <row r="10" spans="1:14" x14ac:dyDescent="0.2">
      <c r="B10" s="13" t="s">
        <v>4</v>
      </c>
      <c r="C10" s="13" t="s">
        <v>8</v>
      </c>
    </row>
    <row r="11" spans="1:14" x14ac:dyDescent="0.2">
      <c r="B11" s="13" t="s">
        <v>9</v>
      </c>
      <c r="C11" s="13" t="s">
        <v>10</v>
      </c>
    </row>
    <row r="12" spans="1:14" ht="21" x14ac:dyDescent="0.25">
      <c r="B12" s="6" t="s">
        <v>21</v>
      </c>
      <c r="C12" s="6"/>
    </row>
    <row r="13" spans="1:14" x14ac:dyDescent="0.2">
      <c r="B13" t="s">
        <v>29</v>
      </c>
    </row>
    <row r="14" spans="1:14" x14ac:dyDescent="0.2">
      <c r="D14" s="2" t="s">
        <v>11</v>
      </c>
      <c r="E14" s="2"/>
      <c r="F14" s="2"/>
      <c r="G14" s="2"/>
      <c r="H14" s="2"/>
      <c r="I14" s="2"/>
      <c r="J14" s="2"/>
      <c r="K14" s="2"/>
    </row>
    <row r="15" spans="1:14" x14ac:dyDescent="0.2">
      <c r="D15" s="2"/>
      <c r="E15" s="2"/>
      <c r="F15" s="2"/>
      <c r="G15" s="2"/>
      <c r="H15" s="2"/>
      <c r="I15" s="2"/>
      <c r="J15" s="2"/>
      <c r="K15" s="2"/>
    </row>
    <row r="16" spans="1:14" x14ac:dyDescent="0.2">
      <c r="D16" s="2" t="s">
        <v>12</v>
      </c>
      <c r="E16" s="2"/>
      <c r="F16" s="2"/>
      <c r="G16" s="2"/>
      <c r="H16" s="2"/>
      <c r="I16" s="2"/>
      <c r="J16" s="2"/>
      <c r="K16" s="2"/>
    </row>
    <row r="17" spans="2:20" x14ac:dyDescent="0.2">
      <c r="D17" s="2"/>
      <c r="E17" s="2"/>
      <c r="F17" s="2"/>
      <c r="G17" s="2"/>
      <c r="H17" s="2"/>
      <c r="I17" s="2"/>
      <c r="J17" s="2"/>
      <c r="K17" s="2"/>
      <c r="M17" s="4" t="s">
        <v>17</v>
      </c>
      <c r="N17" s="4"/>
      <c r="O17" s="4"/>
      <c r="P17" s="4"/>
    </row>
    <row r="18" spans="2:20" x14ac:dyDescent="0.2">
      <c r="D18" s="2"/>
      <c r="E18" s="2" t="s">
        <v>14</v>
      </c>
      <c r="F18" s="2"/>
      <c r="G18" s="2"/>
      <c r="H18" s="2"/>
      <c r="I18" s="2"/>
      <c r="J18" s="2"/>
      <c r="K18" s="2"/>
      <c r="M18" s="4"/>
      <c r="N18" s="4"/>
      <c r="O18" s="4"/>
      <c r="P18" s="4"/>
    </row>
    <row r="19" spans="2:20" x14ac:dyDescent="0.2">
      <c r="D19" s="2"/>
      <c r="E19" s="2"/>
      <c r="F19" s="2"/>
      <c r="G19" s="2"/>
      <c r="H19" s="2"/>
      <c r="I19" s="2"/>
      <c r="J19" s="2"/>
      <c r="K19" s="2"/>
      <c r="M19" s="4" t="s">
        <v>19</v>
      </c>
      <c r="N19" s="4"/>
      <c r="O19" s="4"/>
      <c r="P19" s="4"/>
    </row>
    <row r="20" spans="2:20" x14ac:dyDescent="0.2">
      <c r="D20" s="2" t="s">
        <v>13</v>
      </c>
      <c r="E20" s="2"/>
      <c r="F20" s="2"/>
      <c r="G20" s="2"/>
      <c r="H20" s="2"/>
      <c r="I20" s="2"/>
      <c r="J20" s="2"/>
      <c r="K20" s="2"/>
    </row>
    <row r="21" spans="2:20" x14ac:dyDescent="0.2">
      <c r="D21" s="2"/>
      <c r="E21" s="2"/>
      <c r="F21" s="2"/>
      <c r="G21" s="2"/>
      <c r="H21" s="2"/>
      <c r="I21" s="2"/>
      <c r="J21" s="2"/>
      <c r="K21" s="2"/>
    </row>
    <row r="22" spans="2:20" x14ac:dyDescent="0.2">
      <c r="D22" s="2"/>
      <c r="E22" s="2" t="s">
        <v>15</v>
      </c>
      <c r="F22" s="2"/>
      <c r="G22" s="2"/>
      <c r="H22" s="2"/>
      <c r="I22" s="2"/>
      <c r="J22" s="2"/>
      <c r="K22" s="2"/>
      <c r="N22" t="s">
        <v>20</v>
      </c>
    </row>
    <row r="23" spans="2:20" x14ac:dyDescent="0.2">
      <c r="D23" s="2"/>
      <c r="E23" s="2"/>
      <c r="F23" s="2"/>
      <c r="G23" s="2"/>
      <c r="H23" s="2"/>
      <c r="I23" s="2"/>
      <c r="J23" s="2"/>
      <c r="K23" s="2"/>
      <c r="M23" s="1"/>
      <c r="N23" s="1" t="s">
        <v>1</v>
      </c>
      <c r="O23" s="1" t="s">
        <v>2</v>
      </c>
      <c r="P23" s="1" t="s">
        <v>22</v>
      </c>
      <c r="Q23" s="1" t="s">
        <v>4</v>
      </c>
      <c r="R23" s="1" t="s">
        <v>1</v>
      </c>
      <c r="S23" s="1" t="s">
        <v>2</v>
      </c>
      <c r="T23" s="1" t="s">
        <v>3</v>
      </c>
    </row>
    <row r="24" spans="2:20" x14ac:dyDescent="0.2">
      <c r="M24" s="1" t="s">
        <v>0</v>
      </c>
      <c r="N24" s="1">
        <v>1200</v>
      </c>
      <c r="O24" s="1">
        <v>20</v>
      </c>
      <c r="P24" s="1">
        <f>N24*O24</f>
        <v>24000</v>
      </c>
      <c r="Q24" s="1" t="s">
        <v>6</v>
      </c>
      <c r="R24" s="1">
        <v>5000</v>
      </c>
      <c r="S24" s="1">
        <v>22</v>
      </c>
      <c r="T24" s="1">
        <v>110000</v>
      </c>
    </row>
    <row r="25" spans="2:20" x14ac:dyDescent="0.2">
      <c r="M25" s="1"/>
      <c r="N25" s="1"/>
      <c r="O25" s="1"/>
      <c r="P25" s="1"/>
      <c r="Q25" s="1">
        <v>5800</v>
      </c>
      <c r="R25" s="1">
        <v>800</v>
      </c>
      <c r="S25" s="1">
        <v>20</v>
      </c>
      <c r="T25" s="1">
        <f>R25*S25</f>
        <v>16000</v>
      </c>
    </row>
    <row r="26" spans="2:20" x14ac:dyDescent="0.2">
      <c r="D26" s="3" t="s">
        <v>16</v>
      </c>
      <c r="E26" s="3"/>
      <c r="F26" s="3"/>
      <c r="G26" s="3"/>
      <c r="H26" s="3"/>
      <c r="M26" s="1" t="s">
        <v>4</v>
      </c>
      <c r="N26" s="1">
        <v>5000</v>
      </c>
      <c r="O26" s="1">
        <v>22</v>
      </c>
      <c r="P26" s="1">
        <f>N26*O26</f>
        <v>110000</v>
      </c>
      <c r="Q26" s="1" t="s">
        <v>7</v>
      </c>
      <c r="R26" s="1">
        <v>400</v>
      </c>
      <c r="S26" s="1">
        <v>20</v>
      </c>
      <c r="T26" s="1">
        <f>R26*S26</f>
        <v>8000</v>
      </c>
    </row>
    <row r="27" spans="2:20" x14ac:dyDescent="0.2">
      <c r="D27" s="3"/>
      <c r="E27" s="3"/>
      <c r="F27" s="3"/>
      <c r="G27" s="3"/>
      <c r="H27" s="3"/>
      <c r="M27" s="19" t="s">
        <v>5</v>
      </c>
      <c r="N27" s="5">
        <v>1200</v>
      </c>
      <c r="O27" s="5">
        <v>20</v>
      </c>
      <c r="P27" s="5">
        <v>24000</v>
      </c>
      <c r="Q27" s="19" t="s">
        <v>5</v>
      </c>
      <c r="R27" s="1"/>
      <c r="S27" s="1"/>
      <c r="T27" s="1"/>
    </row>
    <row r="28" spans="2:20" x14ac:dyDescent="0.2">
      <c r="D28" s="3" t="s">
        <v>18</v>
      </c>
      <c r="E28" s="3"/>
      <c r="F28" s="3"/>
      <c r="G28" s="3"/>
      <c r="H28" s="3"/>
      <c r="M28" s="20"/>
      <c r="N28" s="12">
        <v>5000</v>
      </c>
      <c r="O28" s="12">
        <v>22</v>
      </c>
      <c r="P28" s="12">
        <v>110000</v>
      </c>
      <c r="Q28" s="20"/>
      <c r="R28" s="1"/>
      <c r="S28" s="1"/>
      <c r="T28" s="1"/>
    </row>
    <row r="31" spans="2:20" x14ac:dyDescent="0.2">
      <c r="C31" t="s">
        <v>20</v>
      </c>
    </row>
    <row r="32" spans="2:20" x14ac:dyDescent="0.2">
      <c r="B32" s="1"/>
      <c r="C32" s="1" t="s">
        <v>1</v>
      </c>
      <c r="D32" s="1" t="s">
        <v>2</v>
      </c>
      <c r="E32" s="1" t="s">
        <v>22</v>
      </c>
      <c r="F32" s="1"/>
      <c r="G32" s="1" t="s">
        <v>4</v>
      </c>
      <c r="H32" s="1" t="s">
        <v>1</v>
      </c>
      <c r="I32" s="1" t="s">
        <v>2</v>
      </c>
      <c r="J32" s="1" t="s">
        <v>3</v>
      </c>
    </row>
    <row r="33" spans="2:10" x14ac:dyDescent="0.2">
      <c r="B33" s="1" t="s">
        <v>0</v>
      </c>
      <c r="C33" s="1">
        <v>1200</v>
      </c>
      <c r="D33" s="1">
        <v>20</v>
      </c>
      <c r="E33" s="1">
        <f>C33*D33</f>
        <v>24000</v>
      </c>
      <c r="F33" s="1"/>
      <c r="G33" s="1" t="s">
        <v>6</v>
      </c>
      <c r="H33" s="1">
        <v>1200</v>
      </c>
      <c r="I33" s="1">
        <v>20</v>
      </c>
      <c r="J33" s="1">
        <v>24000</v>
      </c>
    </row>
    <row r="34" spans="2:10" x14ac:dyDescent="0.2">
      <c r="B34" s="1"/>
      <c r="C34" s="1"/>
      <c r="D34" s="1"/>
      <c r="E34" s="1"/>
      <c r="F34" s="1"/>
      <c r="G34" s="1">
        <v>5800</v>
      </c>
      <c r="H34" s="1">
        <f>G34-H33</f>
        <v>4600</v>
      </c>
      <c r="I34" s="1">
        <v>22</v>
      </c>
      <c r="J34" s="1">
        <f>H34*I34</f>
        <v>101200</v>
      </c>
    </row>
    <row r="35" spans="2:10" x14ac:dyDescent="0.2">
      <c r="B35" s="1" t="s">
        <v>4</v>
      </c>
      <c r="C35" s="1">
        <v>5000</v>
      </c>
      <c r="D35" s="1">
        <v>22</v>
      </c>
      <c r="E35" s="1">
        <f>C35*D35</f>
        <v>110000</v>
      </c>
      <c r="F35" s="1"/>
      <c r="G35" s="1" t="s">
        <v>7</v>
      </c>
      <c r="H35" s="1">
        <v>400</v>
      </c>
      <c r="I35" s="1">
        <v>22</v>
      </c>
      <c r="J35" s="1">
        <f>H35*I35</f>
        <v>8800</v>
      </c>
    </row>
    <row r="36" spans="2:10" x14ac:dyDescent="0.2">
      <c r="B36" s="19" t="s">
        <v>5</v>
      </c>
      <c r="C36" s="11">
        <v>1200</v>
      </c>
      <c r="D36" s="11">
        <v>20</v>
      </c>
      <c r="E36" s="11">
        <v>24000</v>
      </c>
      <c r="F36" s="17"/>
      <c r="G36" s="19" t="s">
        <v>5</v>
      </c>
      <c r="H36" s="1"/>
      <c r="I36" s="1"/>
      <c r="J36" s="1"/>
    </row>
    <row r="37" spans="2:10" x14ac:dyDescent="0.2">
      <c r="B37" s="20"/>
      <c r="C37" s="10">
        <v>5000</v>
      </c>
      <c r="D37" s="10">
        <v>22</v>
      </c>
      <c r="E37" s="10">
        <v>110000</v>
      </c>
      <c r="F37" s="18"/>
      <c r="G37" s="20"/>
      <c r="H37" s="1"/>
      <c r="I37" s="1"/>
      <c r="J37" s="1"/>
    </row>
  </sheetData>
  <mergeCells count="6">
    <mergeCell ref="Q27:Q28"/>
    <mergeCell ref="B6:B7"/>
    <mergeCell ref="G6:G7"/>
    <mergeCell ref="B36:B37"/>
    <mergeCell ref="G36:G37"/>
    <mergeCell ref="M27:M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de Microsoft Office</dc:creator>
  <cp:lastModifiedBy>Microsoft Office User</cp:lastModifiedBy>
  <dcterms:created xsi:type="dcterms:W3CDTF">2020-11-28T09:29:08Z</dcterms:created>
  <dcterms:modified xsi:type="dcterms:W3CDTF">2025-10-08T00:20:28Z</dcterms:modified>
</cp:coreProperties>
</file>