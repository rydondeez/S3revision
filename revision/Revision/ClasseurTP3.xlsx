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79EC9E0A-13AE-4420-93F5-812C0FBE6426}" xr6:coauthVersionLast="45" xr6:coauthVersionMax="45" xr10:uidLastSave="{00000000-0000-0000-0000-000000000000}"/>
  <bookViews>
    <workbookView xWindow="-108" yWindow="-108" windowWidth="23256" windowHeight="13176" activeTab="3" xr2:uid="{3D8A6459-4FC7-4639-A235-E96780453FC2}"/>
  </bookViews>
  <sheets>
    <sheet name="Feuil1" sheetId="4" r:id="rId1"/>
    <sheet name="Bulletin" sheetId="3" r:id="rId2"/>
    <sheet name="Notes" sheetId="2" r:id="rId3"/>
    <sheet name="Etudiant" sheetId="1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C18" i="4" l="1"/>
  <c r="C17" i="4"/>
  <c r="I13" i="4"/>
  <c r="I14" i="4"/>
  <c r="I15" i="4"/>
  <c r="I12" i="4"/>
  <c r="H13" i="4"/>
  <c r="H14" i="4"/>
  <c r="H15" i="4"/>
  <c r="H12" i="4"/>
  <c r="G13" i="4"/>
  <c r="G14" i="4"/>
  <c r="G15" i="4"/>
  <c r="F13" i="4"/>
  <c r="F14" i="4"/>
  <c r="F15" i="4"/>
  <c r="G12" i="4"/>
  <c r="F12" i="4"/>
  <c r="C12" i="4"/>
  <c r="C13" i="4"/>
  <c r="C14" i="4"/>
  <c r="C15" i="4"/>
  <c r="C3" i="3"/>
  <c r="C11" i="3"/>
  <c r="E11" i="3" s="1"/>
  <c r="C10" i="3"/>
  <c r="E10" i="3" s="1"/>
  <c r="C9" i="3"/>
  <c r="E9" i="3" s="1"/>
  <c r="C8" i="3"/>
  <c r="E8" i="3" s="1"/>
  <c r="C14" i="3" s="1"/>
  <c r="C4" i="3"/>
  <c r="C15" i="3" l="1"/>
</calcChain>
</file>

<file path=xl/sharedStrings.xml><?xml version="1.0" encoding="utf-8"?>
<sst xmlns="http://schemas.openxmlformats.org/spreadsheetml/2006/main" count="72" uniqueCount="50">
  <si>
    <t>Code massar</t>
  </si>
  <si>
    <t>Nom</t>
  </si>
  <si>
    <t>Prenom</t>
  </si>
  <si>
    <t>R209</t>
  </si>
  <si>
    <t>ZATI</t>
  </si>
  <si>
    <t>Khalil</t>
  </si>
  <si>
    <t>Matiere</t>
  </si>
  <si>
    <t>Note</t>
  </si>
  <si>
    <t>Coefficient</t>
  </si>
  <si>
    <t>Note*Coefficient</t>
  </si>
  <si>
    <t>Moyenne generale</t>
  </si>
  <si>
    <t>Mention</t>
  </si>
  <si>
    <t>Compta de gestion</t>
  </si>
  <si>
    <t>Digital skills</t>
  </si>
  <si>
    <t>Anglais</t>
  </si>
  <si>
    <t>Math fin</t>
  </si>
  <si>
    <t>Code Massar</t>
  </si>
  <si>
    <t>R145</t>
  </si>
  <si>
    <t>R300</t>
  </si>
  <si>
    <t>OUADI</t>
  </si>
  <si>
    <t>NADIR</t>
  </si>
  <si>
    <t>Mourad</t>
  </si>
  <si>
    <t>Sara</t>
  </si>
  <si>
    <t>A</t>
  </si>
  <si>
    <t>B</t>
  </si>
  <si>
    <t>C</t>
  </si>
  <si>
    <t>D</t>
  </si>
  <si>
    <t>Code produit</t>
  </si>
  <si>
    <t>Designation</t>
  </si>
  <si>
    <t>Prix unitaire (DH)</t>
  </si>
  <si>
    <t>Taux TVA</t>
  </si>
  <si>
    <t>Date</t>
  </si>
  <si>
    <t>Quantite</t>
  </si>
  <si>
    <t xml:space="preserve">Prix unitaire </t>
  </si>
  <si>
    <t>Montant TTC</t>
  </si>
  <si>
    <t>E</t>
  </si>
  <si>
    <t>F</t>
  </si>
  <si>
    <t>G</t>
  </si>
  <si>
    <t>P01</t>
  </si>
  <si>
    <t>P02</t>
  </si>
  <si>
    <t>P03</t>
  </si>
  <si>
    <t>P04</t>
  </si>
  <si>
    <t>Clavier</t>
  </si>
  <si>
    <t>Souris</t>
  </si>
  <si>
    <t>Ecran</t>
  </si>
  <si>
    <t>Imprimante</t>
  </si>
  <si>
    <t>H</t>
  </si>
  <si>
    <t>Annee de vente</t>
  </si>
  <si>
    <t>Ventes 2024</t>
  </si>
  <si>
    <t>Ventes P01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</si>
</sst>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/>
    <xf numFmtId="0" fontId="0" fillId="2" borderId="1" xfId="0" applyFill="1" applyBorder="1"/>
    <xf numFmtId="0" fontId="1" fillId="2" borderId="1" xfId="0" applyFont="1" applyFill="1" applyBorder="1"/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3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1" fillId="4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  <xf numFmtId="14" fontId="0" fillId="0" borderId="1" xfId="0" applyNumberFormat="1" applyBorder="1"/>
    <xf numFmtId="9" fontId="0" fillId="0" borderId="1" xfId="0" applyNumberFormat="1" applyBorder="1"/>
  </cellXfs>
  <cellStyles count="1">
    <cellStyle name="Normal" xfId="0" builtinId="0"/>
  </cellStyles>
  <dxfs count="2">
    <dxf>
      <fill>
        <patternFill>
          <bgColor rgb="FFFF0000"/>
        </patternFill>
      </fill>
    </dxf>
    <dxf>
      <fill>
        <patternFill>
          <bgColor rgb="FF00B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DAF5DA-3B18-42B8-A3C7-DF902FB57BDF}">
  <dimension ref="A1:I18"/>
  <sheetViews>
    <sheetView workbookViewId="0">
      <selection activeCell="E10" sqref="E10"/>
    </sheetView>
  </sheetViews>
  <sheetFormatPr baseColWidth="10" defaultRowHeight="14.4" x14ac:dyDescent="0.3"/>
  <cols>
    <col min="1" max="1" width="11.5546875" style="7"/>
    <col min="2" max="3" width="20.109375" customWidth="1"/>
    <col min="4" max="4" width="20.88671875" customWidth="1"/>
    <col min="5" max="5" width="21.88671875" customWidth="1"/>
    <col min="6" max="6" width="18.109375" customWidth="1"/>
    <col min="9" max="9" width="19.21875" customWidth="1"/>
  </cols>
  <sheetData>
    <row r="1" spans="1:9" x14ac:dyDescent="0.3">
      <c r="A1" s="5"/>
      <c r="B1" s="8" t="s">
        <v>23</v>
      </c>
      <c r="C1" s="8" t="s">
        <v>24</v>
      </c>
      <c r="D1" s="8" t="s">
        <v>25</v>
      </c>
      <c r="E1" s="8" t="s">
        <v>26</v>
      </c>
    </row>
    <row r="2" spans="1:9" x14ac:dyDescent="0.3">
      <c r="A2" s="8">
        <v>1</v>
      </c>
      <c r="B2" s="4" t="s">
        <v>27</v>
      </c>
      <c r="C2" s="4" t="s">
        <v>28</v>
      </c>
      <c r="D2" s="4" t="s">
        <v>29</v>
      </c>
      <c r="E2" s="4" t="s">
        <v>30</v>
      </c>
    </row>
    <row r="3" spans="1:9" x14ac:dyDescent="0.3">
      <c r="A3" s="8">
        <v>2</v>
      </c>
      <c r="B3" s="1" t="s">
        <v>38</v>
      </c>
      <c r="C3" s="1" t="s">
        <v>42</v>
      </c>
      <c r="D3" s="1">
        <v>200</v>
      </c>
      <c r="E3" s="12">
        <v>0.2</v>
      </c>
    </row>
    <row r="4" spans="1:9" x14ac:dyDescent="0.3">
      <c r="A4" s="8">
        <v>3</v>
      </c>
      <c r="B4" s="1" t="s">
        <v>39</v>
      </c>
      <c r="C4" s="1" t="s">
        <v>43</v>
      </c>
      <c r="D4" s="1">
        <v>100</v>
      </c>
      <c r="E4" s="12">
        <v>0.2</v>
      </c>
    </row>
    <row r="5" spans="1:9" x14ac:dyDescent="0.3">
      <c r="A5" s="8">
        <v>4</v>
      </c>
      <c r="B5" s="1" t="s">
        <v>40</v>
      </c>
      <c r="C5" s="1" t="s">
        <v>44</v>
      </c>
      <c r="D5" s="1">
        <v>1200</v>
      </c>
      <c r="E5" s="12">
        <v>0.14000000000000001</v>
      </c>
    </row>
    <row r="6" spans="1:9" x14ac:dyDescent="0.3">
      <c r="A6" s="8">
        <v>5</v>
      </c>
      <c r="B6" s="1" t="s">
        <v>41</v>
      </c>
      <c r="C6" s="1" t="s">
        <v>45</v>
      </c>
      <c r="D6" s="1">
        <v>800</v>
      </c>
      <c r="E6" s="12">
        <v>7.0000000000000007E-2</v>
      </c>
    </row>
    <row r="10" spans="1:9" s="10" customFormat="1" x14ac:dyDescent="0.3">
      <c r="A10" s="9"/>
      <c r="B10" s="8" t="s">
        <v>23</v>
      </c>
      <c r="C10" s="8" t="s">
        <v>24</v>
      </c>
      <c r="D10" s="8" t="s">
        <v>25</v>
      </c>
      <c r="E10" s="8" t="s">
        <v>26</v>
      </c>
      <c r="F10" s="8" t="s">
        <v>35</v>
      </c>
      <c r="G10" s="8" t="s">
        <v>36</v>
      </c>
      <c r="H10" s="8" t="s">
        <v>37</v>
      </c>
      <c r="I10" s="8" t="s">
        <v>46</v>
      </c>
    </row>
    <row r="11" spans="1:9" s="6" customFormat="1" x14ac:dyDescent="0.3">
      <c r="A11" s="8">
        <v>10</v>
      </c>
      <c r="B11" s="4" t="s">
        <v>27</v>
      </c>
      <c r="C11" s="4" t="s">
        <v>28</v>
      </c>
      <c r="D11" s="4" t="s">
        <v>31</v>
      </c>
      <c r="E11" s="4" t="s">
        <v>32</v>
      </c>
      <c r="F11" s="4" t="s">
        <v>33</v>
      </c>
      <c r="G11" s="4" t="s">
        <v>30</v>
      </c>
      <c r="H11" s="4" t="s">
        <v>34</v>
      </c>
      <c r="I11" s="4" t="s">
        <v>47</v>
      </c>
    </row>
    <row r="12" spans="1:9" x14ac:dyDescent="0.3">
      <c r="A12" s="8">
        <v>11</v>
      </c>
      <c r="B12" s="1" t="s">
        <v>38</v>
      </c>
      <c r="C12" s="1" t="str">
        <f>VLOOKUP(B12,$B$1:$C$6,2,FALSE)</f>
        <v>Clavier</v>
      </c>
      <c r="D12" s="11">
        <v>45393</v>
      </c>
      <c r="E12" s="1">
        <v>2</v>
      </c>
      <c r="F12" s="1">
        <f>VLOOKUP(B12,$B$1:$D$6,3,FALSE)</f>
        <v>200</v>
      </c>
      <c r="G12" s="1">
        <f>VLOOKUP(B12,$B$1:$E$6,4,FALSE)</f>
        <v>0.2</v>
      </c>
      <c r="H12" s="1">
        <f>F12*(1+G12)</f>
        <v>240</v>
      </c>
      <c r="I12" s="1">
        <f>YEAR(D12)</f>
        <v>2024</v>
      </c>
    </row>
    <row r="13" spans="1:9" x14ac:dyDescent="0.3">
      <c r="A13" s="8">
        <v>12</v>
      </c>
      <c r="B13" s="1" t="s">
        <v>39</v>
      </c>
      <c r="C13" s="1" t="str">
        <f>VLOOKUP(B13,$B$1:$C$6,2,FALSE)</f>
        <v>Souris</v>
      </c>
      <c r="D13" s="11">
        <v>45820</v>
      </c>
      <c r="E13" s="1">
        <v>5</v>
      </c>
      <c r="F13" s="1">
        <f t="shared" ref="F13:F15" si="0">VLOOKUP(B13,$B$1:$D$6,3,FALSE)</f>
        <v>100</v>
      </c>
      <c r="G13" s="1">
        <f t="shared" ref="G13:G15" si="1">VLOOKUP(B13,$B$1:$E$6,4,FALSE)</f>
        <v>0.2</v>
      </c>
      <c r="H13" s="1">
        <f t="shared" ref="H13:H15" si="2">F13*(1+G13)</f>
        <v>120</v>
      </c>
      <c r="I13" s="1">
        <f t="shared" ref="I13:I15" si="3">YEAR(D13)</f>
        <v>2025</v>
      </c>
    </row>
    <row r="14" spans="1:9" x14ac:dyDescent="0.3">
      <c r="A14" s="8">
        <v>13</v>
      </c>
      <c r="B14" s="1" t="s">
        <v>40</v>
      </c>
      <c r="C14" s="1" t="str">
        <f t="shared" ref="C14:C15" si="4">VLOOKUP(B14,$B$1:$C$6,2,FALSE)</f>
        <v>Ecran</v>
      </c>
      <c r="D14" s="11">
        <v>45485</v>
      </c>
      <c r="E14" s="1">
        <v>3</v>
      </c>
      <c r="F14" s="1">
        <f t="shared" si="0"/>
        <v>1200</v>
      </c>
      <c r="G14" s="1">
        <f t="shared" si="1"/>
        <v>0.14000000000000001</v>
      </c>
      <c r="H14" s="1">
        <f t="shared" si="2"/>
        <v>1368.0000000000002</v>
      </c>
      <c r="I14" s="1">
        <f t="shared" si="3"/>
        <v>2024</v>
      </c>
    </row>
    <row r="15" spans="1:9" x14ac:dyDescent="0.3">
      <c r="A15" s="8">
        <v>14</v>
      </c>
      <c r="B15" s="1" t="s">
        <v>38</v>
      </c>
      <c r="C15" s="1" t="str">
        <f t="shared" si="4"/>
        <v>Clavier</v>
      </c>
      <c r="D15" s="11">
        <v>45940</v>
      </c>
      <c r="E15" s="1">
        <v>7</v>
      </c>
      <c r="F15" s="1">
        <f t="shared" si="0"/>
        <v>200</v>
      </c>
      <c r="G15" s="1">
        <f t="shared" si="1"/>
        <v>0.2</v>
      </c>
      <c r="H15" s="1">
        <f t="shared" si="2"/>
        <v>240</v>
      </c>
      <c r="I15" s="1">
        <f t="shared" si="3"/>
        <v>2025</v>
      </c>
    </row>
    <row r="17" spans="2:3" x14ac:dyDescent="0.3">
      <c r="B17" s="4" t="s">
        <v>48</v>
      </c>
      <c r="C17" s="1">
        <f>SUMIF(I12:I15,2024,H12:H15)</f>
        <v>1608.0000000000002</v>
      </c>
    </row>
    <row r="18" spans="2:3" x14ac:dyDescent="0.3">
      <c r="B18" s="4" t="s">
        <v>49</v>
      </c>
      <c r="C18" s="1">
        <f>SUMIF(B12:B15,"P01",H12:H15)</f>
        <v>480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8B353-34BB-45DA-8A39-7D62B0AE116B}">
  <dimension ref="B2:E15"/>
  <sheetViews>
    <sheetView workbookViewId="0">
      <selection activeCell="C28" sqref="C28"/>
    </sheetView>
  </sheetViews>
  <sheetFormatPr baseColWidth="10" defaultRowHeight="14.4" x14ac:dyDescent="0.3"/>
  <cols>
    <col min="2" max="2" width="22.6640625" customWidth="1"/>
    <col min="3" max="3" width="18.21875" customWidth="1"/>
    <col min="5" max="5" width="17.77734375" customWidth="1"/>
  </cols>
  <sheetData>
    <row r="2" spans="2:5" x14ac:dyDescent="0.3">
      <c r="B2" s="3" t="s">
        <v>0</v>
      </c>
      <c r="C2" s="1" t="s">
        <v>3</v>
      </c>
    </row>
    <row r="3" spans="2:5" x14ac:dyDescent="0.3">
      <c r="B3" s="3" t="s">
        <v>1</v>
      </c>
      <c r="C3" s="1" t="str">
        <f>VLOOKUP(C2,Etudiant!A1:C4,2,FALSE)</f>
        <v>ZATI</v>
      </c>
    </row>
    <row r="4" spans="2:5" x14ac:dyDescent="0.3">
      <c r="B4" s="3" t="s">
        <v>2</v>
      </c>
      <c r="C4" s="1" t="str">
        <f>VLOOKUP(C2,Etudiant!A1:C4,3,FALSE)</f>
        <v>Khalil</v>
      </c>
    </row>
    <row r="7" spans="2:5" x14ac:dyDescent="0.3">
      <c r="B7" s="4" t="s">
        <v>6</v>
      </c>
      <c r="C7" s="4" t="s">
        <v>7</v>
      </c>
      <c r="D7" s="4" t="s">
        <v>8</v>
      </c>
      <c r="E7" s="4" t="s">
        <v>9</v>
      </c>
    </row>
    <row r="8" spans="2:5" x14ac:dyDescent="0.3">
      <c r="B8" s="1" t="s">
        <v>12</v>
      </c>
      <c r="C8" s="1">
        <f>VLOOKUP(C2,Notes!A1:E4,2,FALSE)</f>
        <v>12</v>
      </c>
      <c r="D8" s="1">
        <v>2</v>
      </c>
      <c r="E8" s="1">
        <f>C8*D8</f>
        <v>24</v>
      </c>
    </row>
    <row r="9" spans="2:5" x14ac:dyDescent="0.3">
      <c r="B9" s="1" t="s">
        <v>13</v>
      </c>
      <c r="C9" s="1">
        <f>VLOOKUP(C2,Notes!A1:E4,3,FALSE)</f>
        <v>17</v>
      </c>
      <c r="D9" s="1">
        <v>2</v>
      </c>
      <c r="E9" s="1">
        <f t="shared" ref="E9:E11" si="0">C9*D9</f>
        <v>34</v>
      </c>
    </row>
    <row r="10" spans="2:5" x14ac:dyDescent="0.3">
      <c r="B10" s="1" t="s">
        <v>14</v>
      </c>
      <c r="C10" s="1">
        <f>VLOOKUP(C2,Notes!A1:E4,4,FALSE)</f>
        <v>12</v>
      </c>
      <c r="D10" s="1">
        <v>1</v>
      </c>
      <c r="E10" s="1">
        <f t="shared" si="0"/>
        <v>12</v>
      </c>
    </row>
    <row r="11" spans="2:5" x14ac:dyDescent="0.3">
      <c r="B11" s="1" t="s">
        <v>15</v>
      </c>
      <c r="C11" s="1">
        <f>VLOOKUP(C2,Notes!A1:E4,5,FALSE)</f>
        <v>12</v>
      </c>
      <c r="D11" s="1">
        <v>3</v>
      </c>
      <c r="E11" s="1">
        <f t="shared" si="0"/>
        <v>36</v>
      </c>
    </row>
    <row r="14" spans="2:5" x14ac:dyDescent="0.3">
      <c r="B14" s="2" t="s">
        <v>10</v>
      </c>
      <c r="C14" s="1">
        <f>SUM(E8:E11)/SUM(D8:D11)</f>
        <v>13.25</v>
      </c>
    </row>
    <row r="15" spans="2:5" x14ac:dyDescent="0.3">
      <c r="B15" s="2" t="s">
        <v>11</v>
      </c>
      <c r="C15" s="5" t="str">
        <f>_xlfn.IFS(C14&gt;=16,"tres bien",C14&gt;=14,"bien",C14&gt;=12,"A bien",C14&gt;=10,"passable",C14&lt;=10,"ajourne")</f>
        <v>A bien</v>
      </c>
    </row>
  </sheetData>
  <conditionalFormatting sqref="C14">
    <cfRule type="expression" dxfId="1" priority="2">
      <formula>$C$14&gt;=10</formula>
    </cfRule>
    <cfRule type="expression" dxfId="0" priority="1">
      <formula>$C$14&lt;=10</formula>
    </cfRule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4DE6B0-49CE-48D5-9CBC-BBF617ECDA1D}">
  <dimension ref="A1:E4"/>
  <sheetViews>
    <sheetView workbookViewId="0">
      <selection activeCell="E5" sqref="E5"/>
    </sheetView>
  </sheetViews>
  <sheetFormatPr baseColWidth="10" defaultRowHeight="14.4" x14ac:dyDescent="0.3"/>
  <cols>
    <col min="2" max="2" width="21.21875" customWidth="1"/>
    <col min="5" max="5" width="22.21875" customWidth="1"/>
  </cols>
  <sheetData>
    <row r="1" spans="1:5" x14ac:dyDescent="0.3">
      <c r="A1" s="4" t="s">
        <v>16</v>
      </c>
      <c r="B1" s="4" t="s">
        <v>12</v>
      </c>
      <c r="C1" s="4" t="s">
        <v>13</v>
      </c>
      <c r="D1" s="4" t="s">
        <v>14</v>
      </c>
      <c r="E1" s="4" t="s">
        <v>15</v>
      </c>
    </row>
    <row r="2" spans="1:5" x14ac:dyDescent="0.3">
      <c r="A2" s="1" t="s">
        <v>17</v>
      </c>
      <c r="B2" s="1">
        <v>14</v>
      </c>
      <c r="C2" s="1">
        <v>9</v>
      </c>
      <c r="D2" s="1">
        <v>10</v>
      </c>
      <c r="E2" s="1">
        <v>7</v>
      </c>
    </row>
    <row r="3" spans="1:5" x14ac:dyDescent="0.3">
      <c r="A3" s="1" t="s">
        <v>3</v>
      </c>
      <c r="B3" s="1">
        <v>12</v>
      </c>
      <c r="C3" s="1">
        <v>17</v>
      </c>
      <c r="D3" s="1">
        <v>12</v>
      </c>
      <c r="E3" s="1">
        <v>12</v>
      </c>
    </row>
    <row r="4" spans="1:5" x14ac:dyDescent="0.3">
      <c r="A4" s="1" t="s">
        <v>18</v>
      </c>
      <c r="B4" s="1">
        <v>15</v>
      </c>
      <c r="C4" s="1">
        <v>12</v>
      </c>
      <c r="D4" s="1">
        <v>11</v>
      </c>
      <c r="E4" s="1">
        <v>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7F97E7-FD07-444B-8A38-E8C7F0C5510B}">
  <dimension ref="A1:C4"/>
  <sheetViews>
    <sheetView tabSelected="1" workbookViewId="0">
      <selection activeCell="C4" sqref="C4"/>
    </sheetView>
  </sheetViews>
  <sheetFormatPr baseColWidth="10" defaultRowHeight="14.4" x14ac:dyDescent="0.3"/>
  <sheetData>
    <row r="1" spans="1:3" x14ac:dyDescent="0.3">
      <c r="A1" s="4" t="s">
        <v>16</v>
      </c>
      <c r="B1" s="4" t="s">
        <v>1</v>
      </c>
      <c r="C1" s="4" t="s">
        <v>2</v>
      </c>
    </row>
    <row r="2" spans="1:3" x14ac:dyDescent="0.3">
      <c r="A2" s="1" t="s">
        <v>17</v>
      </c>
      <c r="B2" s="1" t="s">
        <v>20</v>
      </c>
      <c r="C2" s="1" t="s">
        <v>21</v>
      </c>
    </row>
    <row r="3" spans="1:3" x14ac:dyDescent="0.3">
      <c r="A3" s="1" t="s">
        <v>3</v>
      </c>
      <c r="B3" s="1" t="s">
        <v>4</v>
      </c>
      <c r="C3" s="1" t="s">
        <v>5</v>
      </c>
    </row>
    <row r="4" spans="1:3" x14ac:dyDescent="0.3">
      <c r="A4" s="1" t="s">
        <v>18</v>
      </c>
      <c r="B4" s="1" t="s">
        <v>19</v>
      </c>
      <c r="C4" s="1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Feuil1</vt:lpstr>
      <vt:lpstr>Bulletin</vt:lpstr>
      <vt:lpstr>Notes</vt:lpstr>
      <vt:lpstr>Etudiant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2025-11-08T12:29:31Z</dcterms:created>
  <dcterms:modified xsi:type="dcterms:W3CDTF">2025-11-09T15:03:21Z</dcterms:modified>
</cp:coreProperties>
</file>